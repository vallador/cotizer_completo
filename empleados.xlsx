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FOS\PycharmProjects\Cotizer\"/>
    </mc:Choice>
  </mc:AlternateContent>
  <xr:revisionPtr revIDLastSave="0" documentId="13_ncr:1_{4BBDFACE-3033-47D2-8AB8-CB6140E6DF1A}" xr6:coauthVersionLast="47" xr6:coauthVersionMax="47" xr10:uidLastSave="{00000000-0000-0000-0000-000000000000}"/>
  <bookViews>
    <workbookView xWindow="-120" yWindow="-120" windowWidth="29040" windowHeight="15720" xr2:uid="{5BC76FBA-9003-4909-AF84-2179C03BE8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2" i="1"/>
  <c r="E8" i="1"/>
  <c r="F8" i="1" s="1"/>
  <c r="E9" i="1"/>
  <c r="E11" i="1"/>
  <c r="E12" i="1"/>
  <c r="F12" i="1" s="1"/>
  <c r="E13" i="1"/>
  <c r="E1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2" i="1"/>
  <c r="C3" i="1"/>
  <c r="E3" i="1" s="1"/>
  <c r="C4" i="1"/>
  <c r="C5" i="1"/>
  <c r="C6" i="1"/>
  <c r="C7" i="1"/>
  <c r="C8" i="1"/>
  <c r="C9" i="1"/>
  <c r="F9" i="1" s="1"/>
  <c r="C10" i="1"/>
  <c r="C11" i="1"/>
  <c r="F11" i="1" s="1"/>
  <c r="C12" i="1"/>
  <c r="C13" i="1"/>
  <c r="C14" i="1"/>
  <c r="F14" i="1" s="1"/>
  <c r="C2" i="1"/>
  <c r="F3" i="1" l="1"/>
  <c r="E10" i="1"/>
  <c r="F10" i="1" s="1"/>
  <c r="F4" i="1"/>
  <c r="E7" i="1"/>
  <c r="F7" i="1" s="1"/>
  <c r="E6" i="1"/>
  <c r="F6" i="1" s="1"/>
  <c r="E5" i="1"/>
  <c r="F5" i="1" s="1"/>
  <c r="E4" i="1"/>
</calcChain>
</file>

<file path=xl/sharedStrings.xml><?xml version="1.0" encoding="utf-8"?>
<sst xmlns="http://schemas.openxmlformats.org/spreadsheetml/2006/main" count="11" uniqueCount="11">
  <si>
    <t>SALARIO BASE</t>
  </si>
  <si>
    <t>SALARIO A PAGAR</t>
  </si>
  <si>
    <t>EMMA VICTORIA GAVIOTA VELAZQUEZ</t>
  </si>
  <si>
    <t>ELVIRA ELEANOR TACHIRA GARCIA</t>
  </si>
  <si>
    <t>FLORENTINO EUSTACIO RIVERA MARROQUIN</t>
  </si>
  <si>
    <t>EDUARDO PALACIOS VERGARA</t>
  </si>
  <si>
    <t>MATIAS ALVARADO RAMIREZ</t>
  </si>
  <si>
    <t>DESCUENTO SALUD</t>
  </si>
  <si>
    <t>DESCUENTO PENSIÓN</t>
  </si>
  <si>
    <t>DESCUENTO ARL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</si>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</sst>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44" fontId="0" fillId="0" borderId="0" xfId="1" applyFont="1" applyAlignment="1">
      <alignment horizontal="left" vertical="center" wrapText="1"/>
    </xf>
    <xf numFmtId="44" fontId="1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right" vertical="center"/>
    </xf>
    <xf numFmtId="44" fontId="0" fillId="0" borderId="0" xfId="1" applyFont="1" applyAlignment="1">
      <alignment horizontal="right"/>
    </xf>
    <xf numFmtId="44" fontId="1" fillId="0" borderId="0" xfId="1" applyFont="1" applyAlignment="1">
      <alignment horizontal="right"/>
    </xf>
    <xf numFmtId="0" fontId="0" fillId="0" borderId="0" xfId="0" applyFont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0319A-73E6-493D-874A-1F9F1359EA52}" name="Tabla1" displayName="Tabla1" ref="A1:F14" totalsRowShown="0" headerRowDxfId="7" dataDxfId="6" dataCellStyle="Moneda">
  <autoFilter ref="A1:F14" xr:uid="{62E0319A-73E6-493D-874A-1F9F1359EA52}"/>
  <tableColumns count="6">
    <tableColumn id="1" xr3:uid="{C3747BC4-4D14-4E6F-A00C-BD48B75943DD}" name="NOMBRE" dataDxfId="5" dataCellStyle="Moneda"/>
    <tableColumn id="2" xr3:uid="{D4BFC914-DB76-4191-B6DD-40641D395CFF}" name="SALARIO BASE" dataDxfId="4" dataCellStyle="Moneda"/>
    <tableColumn id="3" xr3:uid="{85F48963-1B7A-41E4-A3F1-0A52C0613FBF}" name="DESCUENTO SALUD" dataDxfId="3" dataCellStyle="Moneda">
      <calculatedColumnFormula>+B2*0.04</calculatedColumnFormula>
    </tableColumn>
    <tableColumn id="4" xr3:uid="{96483C58-09D2-4784-A0EF-2F974B0B7ADF}" name="DESCUENTO PENSIÓN" dataDxfId="2" dataCellStyle="Moneda">
      <calculatedColumnFormula>+B2*0.04</calculatedColumnFormula>
    </tableColumn>
    <tableColumn id="5" xr3:uid="{98A43FAE-5400-4B88-A580-8485750392C9}" name="DESCUENTO ARL" dataDxfId="1" dataCellStyle="Moneda">
      <calculatedColumnFormula>+C2*0.0214</calculatedColumnFormula>
    </tableColumn>
    <tableColumn id="6" xr3:uid="{8A32AD29-1118-40A2-960A-FD5169BDADBA}" name="SALARIO A PAGAR" dataDxfId="0" dataCellStyle="Moneda">
      <calculatedColumnFormula>+B2-SUM(C2:E2)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F47-7133-4928-944B-9E74B5638DD4}">
  <dimension ref="A1:H14"/>
  <sheetViews>
    <sheetView tabSelected="1" workbookViewId="0">
      <selection sqref="A1:A14"/>
    </sheetView>
  </sheetViews>
  <sheetFormatPr baseColWidth="10" defaultRowHeight="15" x14ac:dyDescent="0.25"/>
  <cols>
    <col min="1" max="1" width="42.42578125" style="2" customWidth="1"/>
    <col min="2" max="2" width="15.5703125" style="7" customWidth="1"/>
    <col min="3" max="3" width="24.5703125" customWidth="1"/>
    <col min="4" max="4" width="26.7109375" customWidth="1"/>
    <col min="5" max="5" width="24.5703125" customWidth="1"/>
    <col min="6" max="6" width="22.7109375" customWidth="1"/>
  </cols>
  <sheetData>
    <row r="1" spans="1:8" s="1" customFormat="1" x14ac:dyDescent="0.25">
      <c r="A1" s="3" t="s">
        <v>10</v>
      </c>
      <c r="B1" s="3" t="s">
        <v>0</v>
      </c>
      <c r="C1" s="3" t="s">
        <v>7</v>
      </c>
      <c r="D1" s="3" t="s">
        <v>8</v>
      </c>
      <c r="E1" s="3" t="s">
        <v>9</v>
      </c>
      <c r="F1" s="3" t="s">
        <v>1</v>
      </c>
    </row>
    <row r="2" spans="1:8" x14ac:dyDescent="0.25">
      <c r="A2" s="6" t="s">
        <v>3</v>
      </c>
      <c r="B2" s="8">
        <v>1520000</v>
      </c>
      <c r="C2" s="9">
        <f>+B2*0.04</f>
        <v>60800</v>
      </c>
      <c r="D2" s="9">
        <f>+B2*0.04</f>
        <v>60800</v>
      </c>
      <c r="E2" s="10">
        <f>+C2*0.0214</f>
        <v>1301.1199999999999</v>
      </c>
      <c r="F2" s="9">
        <f>+B2-SUM(C2:E2)</f>
        <v>1397098.88</v>
      </c>
    </row>
    <row r="3" spans="1:8" x14ac:dyDescent="0.25">
      <c r="A3" s="5" t="s">
        <v>2</v>
      </c>
      <c r="B3" s="8">
        <v>3520000</v>
      </c>
      <c r="C3" s="9">
        <f t="shared" ref="C3:C14" si="0">+B3*0.04</f>
        <v>140800</v>
      </c>
      <c r="D3" s="9">
        <f t="shared" ref="D3:D14" si="1">+B3*0.04</f>
        <v>140800</v>
      </c>
      <c r="E3" s="10">
        <f t="shared" ref="E3:E14" si="2">+C3*0.0214</f>
        <v>3013.12</v>
      </c>
      <c r="F3" s="9">
        <f t="shared" ref="F3:F14" si="3">+B3-SUM(C3:E3)</f>
        <v>3235386.88</v>
      </c>
    </row>
    <row r="4" spans="1:8" x14ac:dyDescent="0.25">
      <c r="A4" s="5" t="s">
        <v>4</v>
      </c>
      <c r="B4" s="8">
        <v>2500000</v>
      </c>
      <c r="C4" s="9">
        <f t="shared" si="0"/>
        <v>100000</v>
      </c>
      <c r="D4" s="9">
        <f t="shared" si="1"/>
        <v>100000</v>
      </c>
      <c r="E4" s="10">
        <f t="shared" si="2"/>
        <v>2140</v>
      </c>
      <c r="F4" s="9">
        <f t="shared" si="3"/>
        <v>2297860</v>
      </c>
    </row>
    <row r="5" spans="1:8" x14ac:dyDescent="0.25">
      <c r="A5" s="5" t="s">
        <v>5</v>
      </c>
      <c r="B5" s="8">
        <v>1520000</v>
      </c>
      <c r="C5" s="9">
        <f t="shared" si="0"/>
        <v>60800</v>
      </c>
      <c r="D5" s="9">
        <f t="shared" si="1"/>
        <v>60800</v>
      </c>
      <c r="E5" s="10">
        <f t="shared" si="2"/>
        <v>1301.1199999999999</v>
      </c>
      <c r="F5" s="9">
        <f t="shared" si="3"/>
        <v>1397098.88</v>
      </c>
    </row>
    <row r="6" spans="1:8" x14ac:dyDescent="0.25">
      <c r="A6" s="5" t="s">
        <v>6</v>
      </c>
      <c r="B6" s="8">
        <v>1360000</v>
      </c>
      <c r="C6" s="9">
        <f t="shared" si="0"/>
        <v>54400</v>
      </c>
      <c r="D6" s="9">
        <f t="shared" si="1"/>
        <v>54400</v>
      </c>
      <c r="E6" s="10">
        <f t="shared" si="2"/>
        <v>1164.1599999999999</v>
      </c>
      <c r="F6" s="9">
        <f t="shared" si="3"/>
        <v>1250035.8400000001</v>
      </c>
    </row>
    <row r="7" spans="1:8" x14ac:dyDescent="0.25">
      <c r="A7" s="4"/>
      <c r="B7" s="8">
        <v>0</v>
      </c>
      <c r="C7" s="9">
        <f t="shared" si="0"/>
        <v>0</v>
      </c>
      <c r="D7" s="9">
        <f t="shared" si="1"/>
        <v>0</v>
      </c>
      <c r="E7" s="10">
        <f t="shared" si="2"/>
        <v>0</v>
      </c>
      <c r="F7" s="9">
        <f t="shared" si="3"/>
        <v>0</v>
      </c>
    </row>
    <row r="8" spans="1:8" x14ac:dyDescent="0.25">
      <c r="A8" s="4"/>
      <c r="B8" s="8">
        <v>0</v>
      </c>
      <c r="C8" s="9">
        <f t="shared" si="0"/>
        <v>0</v>
      </c>
      <c r="D8" s="9">
        <f t="shared" si="1"/>
        <v>0</v>
      </c>
      <c r="E8" s="10">
        <f t="shared" si="2"/>
        <v>0</v>
      </c>
      <c r="F8" s="9">
        <f t="shared" si="3"/>
        <v>0</v>
      </c>
    </row>
    <row r="9" spans="1:8" x14ac:dyDescent="0.25">
      <c r="A9" s="4"/>
      <c r="B9" s="8">
        <v>0</v>
      </c>
      <c r="C9" s="9">
        <f t="shared" si="0"/>
        <v>0</v>
      </c>
      <c r="D9" s="9">
        <f t="shared" si="1"/>
        <v>0</v>
      </c>
      <c r="E9" s="10">
        <f t="shared" si="2"/>
        <v>0</v>
      </c>
      <c r="F9" s="9">
        <f t="shared" si="3"/>
        <v>0</v>
      </c>
    </row>
    <row r="10" spans="1:8" x14ac:dyDescent="0.25">
      <c r="A10" s="4"/>
      <c r="B10" s="8">
        <v>0</v>
      </c>
      <c r="C10" s="9">
        <f t="shared" si="0"/>
        <v>0</v>
      </c>
      <c r="D10" s="9">
        <f t="shared" si="1"/>
        <v>0</v>
      </c>
      <c r="E10" s="10">
        <f t="shared" si="2"/>
        <v>0</v>
      </c>
      <c r="F10" s="9">
        <f t="shared" si="3"/>
        <v>0</v>
      </c>
    </row>
    <row r="11" spans="1:8" x14ac:dyDescent="0.25">
      <c r="A11" s="4"/>
      <c r="B11" s="8">
        <v>0</v>
      </c>
      <c r="C11" s="9">
        <f t="shared" si="0"/>
        <v>0</v>
      </c>
      <c r="D11" s="9">
        <f t="shared" si="1"/>
        <v>0</v>
      </c>
      <c r="E11" s="10">
        <f t="shared" si="2"/>
        <v>0</v>
      </c>
      <c r="F11" s="9">
        <f t="shared" si="3"/>
        <v>0</v>
      </c>
      <c r="H11" s="11"/>
    </row>
    <row r="12" spans="1:8" x14ac:dyDescent="0.25">
      <c r="A12" s="4"/>
      <c r="B12" s="8">
        <v>0</v>
      </c>
      <c r="C12" s="9">
        <f t="shared" si="0"/>
        <v>0</v>
      </c>
      <c r="D12" s="9">
        <f t="shared" si="1"/>
        <v>0</v>
      </c>
      <c r="E12" s="10">
        <f t="shared" si="2"/>
        <v>0</v>
      </c>
      <c r="F12" s="9">
        <f t="shared" si="3"/>
        <v>0</v>
      </c>
    </row>
    <row r="13" spans="1:8" x14ac:dyDescent="0.25">
      <c r="A13" s="4"/>
      <c r="B13" s="8">
        <v>0</v>
      </c>
      <c r="C13" s="9">
        <f t="shared" si="0"/>
        <v>0</v>
      </c>
      <c r="D13" s="9">
        <f t="shared" si="1"/>
        <v>0</v>
      </c>
      <c r="E13" s="10">
        <f t="shared" si="2"/>
        <v>0</v>
      </c>
      <c r="F13" s="9">
        <f t="shared" si="3"/>
        <v>0</v>
      </c>
    </row>
    <row r="14" spans="1:8" x14ac:dyDescent="0.25">
      <c r="A14" s="4"/>
      <c r="B14" s="8">
        <v>0</v>
      </c>
      <c r="C14" s="9">
        <f t="shared" si="0"/>
        <v>0</v>
      </c>
      <c r="D14" s="9">
        <f t="shared" si="1"/>
        <v>0</v>
      </c>
      <c r="E14" s="10">
        <f t="shared" si="2"/>
        <v>0</v>
      </c>
      <c r="F14" s="9">
        <f t="shared" si="3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DELFOS</dc:creator>
  <cp:lastModifiedBy>DELFOS</cp:lastModifiedBy>
  <dcterms:created xsi:type="dcterms:W3CDTF">2024-10-10T14:53:06Z</dcterms:created>
  <dcterms:modified xsi:type="dcterms:W3CDTF">2024-10-10T15:42:46Z</dcterms:modified>
</cp:coreProperties>
</file>