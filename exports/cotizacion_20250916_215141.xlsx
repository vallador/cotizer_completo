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D9EAD3"/>
        <bgColor rgb="00D9EAD3"/>
      </patternFill>
    </fill>
  </fills>
  <borders count="23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medium">
        <color rgb="00000000"/>
      </bottom>
      <diagonal/>
    </border>
    <border>
      <left/>
      <right style="thin">
        <color rgb="00000000"/>
      </right>
      <top style="thin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4" fontId="0" fillId="0" borderId="9" applyAlignment="1" pivotButton="0" quotePrefix="0" xfId="0">
      <alignment horizontal="center" vertical="center"/>
    </xf>
    <xf numFmtId="0" fontId="1" fillId="2" borderId="7" applyAlignment="1" pivotButton="0" quotePrefix="0" xfId="0">
      <alignment horizontal="right"/>
    </xf>
    <xf numFmtId="0" fontId="0" fillId="0" borderId="8" pivotButton="0" quotePrefix="0" xfId="0"/>
    <xf numFmtId="164" fontId="1" fillId="2" borderId="9" pivotButton="0" quotePrefix="0" xfId="0"/>
    <xf numFmtId="0" fontId="2" fillId="3" borderId="7" applyAlignment="1" pivotButton="0" quotePrefix="0" xfId="0">
      <alignment horizontal="right"/>
    </xf>
    <xf numFmtId="164" fontId="2" fillId="3" borderId="9" pivotButton="0" quotePrefix="0" xfId="0"/>
    <xf numFmtId="0" fontId="1" fillId="2" borderId="10" applyAlignment="1" pivotButton="0" quotePrefix="0" xfId="0">
      <alignment horizontal="right"/>
    </xf>
    <xf numFmtId="0" fontId="0" fillId="0" borderId="11" pivotButton="0" quotePrefix="0" xfId="0"/>
    <xf numFmtId="164" fontId="1" fillId="2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2" customWidth="1" min="3" max="3"/>
    <col width="15" customWidth="1" min="4" max="4"/>
    <col width="20" customWidth="1" min="5" max="5"/>
    <col width="20" customWidth="1" min="6" max="6"/>
  </cols>
  <sheetData>
    <row r="1">
      <c r="A1" s="1" t="inlineStr">
        <is>
          <t>Item</t>
        </is>
      </c>
      <c r="B1" s="2" t="inlineStr">
        <is>
          <t>Descripción</t>
        </is>
      </c>
      <c r="C1" s="2" t="inlineStr">
        <is>
          <t>Cantidad</t>
        </is>
      </c>
      <c r="D1" s="2" t="inlineStr">
        <is>
          <t>Unidad</t>
        </is>
      </c>
      <c r="E1" s="2" t="inlineStr">
        <is>
          <t>Precio Unitario</t>
        </is>
      </c>
      <c r="F1" s="3" t="inlineStr">
        <is>
          <t>Total</t>
        </is>
      </c>
    </row>
    <row r="2">
      <c r="A2" s="4" t="n">
        <v>1</v>
      </c>
      <c r="B2" s="5" t="inlineStr">
        <is>
          <t>Apertura controlada de fisuras mediante corte con herramienta mecánica (pulidora con disco diamantado), limpieza profunda del sustrato y aplicación de imprimante epóxico Sikadur®-32 Primer como puente de adherencia entre el mortero base y el sellante. Posteriormente, se realiza el sellado con poliuretano Sikaflex®-401 Pavement, el cual ofrece alta elasticidad y resistencia al movimiento. En caso de requerirse control de profundidad o respaldo del sello, se instalará cordón de respaldo tipo “cola de ratón” o Sika® Rod antes de aplicar el sellante. Actividad dirigida a garantizar estanqueidad y durabilidad en zonas fisuradas.</t>
        </is>
      </c>
      <c r="C2" s="6" t="n">
        <v>1</v>
      </c>
      <c r="D2" s="6" t="inlineStr">
        <is>
          <t>ml</t>
        </is>
      </c>
      <c r="E2" s="7" t="n">
        <v>5850</v>
      </c>
      <c r="F2" s="8" t="n">
        <v>5850</v>
      </c>
    </row>
    <row r="3">
      <c r="A3" s="4" t="n">
        <v>2</v>
      </c>
      <c r="B3" s="5" t="inlineStr">
        <is>
          <t>Apertura controlada de fisuras mediante corte con herramienta mecánica (pulidora con disco diamantado), limpieza profunda del sustrato y aplicación de imprimante epóxico Sikadur®-32 Primer como puente de adherencia entre el mortero base y el sellante. Posteriormente, se realiza el sellado con poliuretano Sikaflex®-401 Pavement, el cual ofrece alta elasticidad y resistencia al movimiento. En caso de requerirse control de profundidad o respaldo del sello, se instalará cordón de respaldo tipo “cola de ratón” o Sika® Rod antes de aplicar el sellante. Actividad dirigida a garantizar estanqueidad y durabilidad en zonas fisuradas.</t>
        </is>
      </c>
      <c r="C3" s="6" t="n">
        <v>1</v>
      </c>
      <c r="D3" s="6" t="inlineStr">
        <is>
          <t>ml</t>
        </is>
      </c>
      <c r="E3" s="7" t="n">
        <v>5850</v>
      </c>
      <c r="F3" s="8" t="n">
        <v>5850</v>
      </c>
    </row>
    <row r="4">
      <c r="A4" s="4" t="n">
        <v>3</v>
      </c>
      <c r="B4" s="5" t="inlineStr">
        <is>
          <t>Apertura controlada de fisuras mediante corte con herramienta mecánica (pulidora con disco diamantado), limpieza profunda del sustrato y aplicación de imprimante epóxico Sikadur®-32 Primer como puente de adherencia entre el mortero base y el sellante. Posteriormente, se realiza el sellado con poliuretano Sikaflex®-401 Pavement, el cual ofrece alta elasticidad y resistencia al movimiento. En caso de requerirse control de profundidad o respaldo del sello, se instalará cordón de respaldo tipo “cola de ratón” o Sika® Rod antes de aplicar el sellante. Actividad dirigida a garantizar estanqueidad y durabilidad en zonas fisuradas.</t>
        </is>
      </c>
      <c r="C4" s="6" t="n">
        <v>1</v>
      </c>
      <c r="D4" s="6" t="inlineStr">
        <is>
          <t>ml</t>
        </is>
      </c>
      <c r="E4" s="7" t="n">
        <v>5850</v>
      </c>
      <c r="F4" s="8" t="n">
        <v>5850</v>
      </c>
    </row>
    <row r="5">
      <c r="A5" s="4" t="n">
        <v>4</v>
      </c>
      <c r="B5" s="5" t="inlineStr">
        <is>
          <t>Suministro y aplicación de sistema de impermeabilización líquida con aislamiento térmico, compuesto por Sikafill®-300 Thermic aplicado en múltiples capas, reforzado con malla de fibra Sika® Felt FPP-30 incorporada entre la primera y segunda capa del producto. La aplicación se realiza sobre superficies horizontales previamente preparadas y niveladas, asegurando continuidad, adherencia y protección frente a fisuración por retracción o movimiento térmico. La tela se adhiere directamente con la misma capa húmeda de Sikafill®, evitando juntas y garantizando la integración del refuerzo al sistema. Este tratamiento genera una membrana flexible, reflectiva y resistente al intemperismo, ideal para cubiertas planas con requerimientos de confort térmico e impermeabilidad.</t>
        </is>
      </c>
      <c r="C5" s="6" t="n">
        <v>1</v>
      </c>
      <c r="D5" s="6" t="inlineStr">
        <is>
          <t>m2</t>
        </is>
      </c>
      <c r="E5" s="7" t="n">
        <v>74600</v>
      </c>
      <c r="F5" s="8" t="n">
        <v>74600</v>
      </c>
    </row>
    <row r="6">
      <c r="A6" s="9" t="inlineStr">
        <is>
          <t>SUBTOTAL COSTOS DIRECTOS</t>
        </is>
      </c>
      <c r="B6" s="10" t="n"/>
      <c r="C6" s="10" t="n"/>
      <c r="D6" s="10" t="n"/>
      <c r="E6" s="10" t="n"/>
      <c r="F6" s="11">
        <f>SUM(F2:F5)</f>
        <v/>
      </c>
    </row>
    <row r="7">
      <c r="A7" s="12" t="inlineStr">
        <is>
          <t>ADMINISTRACIÓN (10.0%)</t>
        </is>
      </c>
      <c r="B7" s="10" t="n"/>
      <c r="C7" s="10" t="n"/>
      <c r="D7" s="10" t="n"/>
      <c r="E7" s="10" t="n"/>
      <c r="F7" s="13">
        <f>F6*(10.0/100)</f>
        <v/>
      </c>
    </row>
    <row r="8">
      <c r="A8" s="12" t="inlineStr">
        <is>
          <t>IMPREVISTOS (5.0%)</t>
        </is>
      </c>
      <c r="B8" s="10" t="n"/>
      <c r="C8" s="10" t="n"/>
      <c r="D8" s="10" t="n"/>
      <c r="E8" s="10" t="n"/>
      <c r="F8" s="13">
        <f>F6*(5.0/100)</f>
        <v/>
      </c>
    </row>
    <row r="9">
      <c r="A9" s="12" t="inlineStr">
        <is>
          <t>UTILIDAD (5.0%)</t>
        </is>
      </c>
      <c r="B9" s="10" t="n"/>
      <c r="C9" s="10" t="n"/>
      <c r="D9" s="10" t="n"/>
      <c r="E9" s="10" t="n"/>
      <c r="F9" s="13">
        <f>F6*(5.0/100)</f>
        <v/>
      </c>
    </row>
    <row r="10">
      <c r="A10" s="12" t="inlineStr">
        <is>
          <t>IVA SOBRE UTILIDAD (19.0%)</t>
        </is>
      </c>
      <c r="B10" s="10" t="n"/>
      <c r="C10" s="10" t="n"/>
      <c r="D10" s="10" t="n"/>
      <c r="E10" s="10" t="n"/>
      <c r="F10" s="13">
        <f>F9*(19.0/100)</f>
        <v/>
      </c>
    </row>
    <row r="11">
      <c r="A11" s="14" t="inlineStr">
        <is>
          <t>VALOR TOTAL COTIZACIÓN</t>
        </is>
      </c>
      <c r="B11" s="15" t="n"/>
      <c r="C11" s="15" t="n"/>
      <c r="D11" s="15" t="n"/>
      <c r="E11" s="15" t="n"/>
      <c r="F11" s="16">
        <f>SUM(F6:F10)</f>
        <v/>
      </c>
    </row>
  </sheetData>
  <mergeCells count="6">
    <mergeCell ref="A10:E10"/>
    <mergeCell ref="A7:E7"/>
    <mergeCell ref="A11:E11"/>
    <mergeCell ref="A8:E8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2025-09-17T02:51:41Z</dcterms:created>
  <dcterms:modified xmlns:dcterms="http://purl.org/dc/terms/" xmlns:xsi="http://www.w3.org/2001/XMLSchema-instance" xsi:type="dcterms:W3CDTF">2025-09-17T02:51:41Z</dcterms:modified>
</cp:coreProperties>
</file>