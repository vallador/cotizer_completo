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004D40"/>
        <bgColor rgb="00004D40"/>
      </patternFill>
    </fill>
    <fill>
      <patternFill patternType="solid">
        <fgColor rgb="00D9EAD3"/>
        <bgColor rgb="00D9EAD3"/>
      </patternFill>
    </fill>
  </fills>
  <borders count="23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medium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0" fontId="1" fillId="2" borderId="7" applyAlignment="1" pivotButton="0" quotePrefix="0" xfId="0">
      <alignment horizontal="right"/>
    </xf>
    <xf numFmtId="164" fontId="1" fillId="2" borderId="9" pivotButton="0" quotePrefix="0" xfId="0"/>
    <xf numFmtId="0" fontId="2" fillId="4" borderId="7" applyAlignment="1" pivotButton="0" quotePrefix="0" xfId="0">
      <alignment horizontal="right"/>
    </xf>
    <xf numFmtId="164" fontId="2" fillId="4" borderId="9" pivotButton="0" quotePrefix="0" xfId="0"/>
    <xf numFmtId="0" fontId="1" fillId="2" borderId="10" applyAlignment="1" pivotButton="0" quotePrefix="0" xfId="0">
      <alignment horizontal="right"/>
    </xf>
    <xf numFmtId="0" fontId="0" fillId="0" borderId="11" pivotButton="0" quotePrefix="0" xfId="0"/>
    <xf numFmtId="164" fontId="1" fillId="2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Item</t>
        </is>
      </c>
      <c r="B1" s="2" t="inlineStr">
        <is>
          <t>Descripción</t>
        </is>
      </c>
      <c r="C1" s="2" t="inlineStr">
        <is>
          <t>Cantidad</t>
        </is>
      </c>
      <c r="D1" s="2" t="inlineStr">
        <is>
          <t>Unidad</t>
        </is>
      </c>
      <c r="E1" s="2" t="inlineStr">
        <is>
          <t>Precio Unitario</t>
        </is>
      </c>
      <c r="F1" s="3" t="inlineStr">
        <is>
          <t>Total</t>
        </is>
      </c>
    </row>
    <row r="2">
      <c r="A2" s="4" t="inlineStr">
        <is>
          <t>PRELIMINARES</t>
        </is>
      </c>
      <c r="B2" s="5" t="n"/>
      <c r="C2" s="5" t="n"/>
      <c r="D2" s="5" t="n"/>
      <c r="E2" s="5" t="n"/>
      <c r="F2" s="6" t="n"/>
    </row>
    <row r="3">
      <c r="A3" s="7" t="n">
        <v>1</v>
      </c>
      <c r="B3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3" s="9" t="n">
        <v>1</v>
      </c>
      <c r="D3" s="9" t="inlineStr">
        <is>
          <t>kg</t>
        </is>
      </c>
      <c r="E3" s="10" t="n">
        <v>60682</v>
      </c>
      <c r="F3" s="11" t="n">
        <v>60682</v>
      </c>
    </row>
    <row r="4">
      <c r="A4" s="7" t="n">
        <v>2</v>
      </c>
      <c r="B4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4" s="9" t="n">
        <v>1</v>
      </c>
      <c r="D4" s="9" t="inlineStr">
        <is>
          <t>kg</t>
        </is>
      </c>
      <c r="E4" s="10" t="n">
        <v>60682</v>
      </c>
      <c r="F4" s="11" t="n">
        <v>60682</v>
      </c>
    </row>
    <row r="5">
      <c r="A5" s="7" t="n">
        <v>3</v>
      </c>
      <c r="B5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5" s="9" t="n">
        <v>1</v>
      </c>
      <c r="D5" s="9" t="inlineStr">
        <is>
          <t>kg</t>
        </is>
      </c>
      <c r="E5" s="10" t="n">
        <v>60682</v>
      </c>
      <c r="F5" s="11" t="n">
        <v>60682</v>
      </c>
    </row>
    <row r="6">
      <c r="A6" s="7" t="n">
        <v>4</v>
      </c>
      <c r="B6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6" s="9" t="n">
        <v>1</v>
      </c>
      <c r="D6" s="9" t="inlineStr">
        <is>
          <t>kg</t>
        </is>
      </c>
      <c r="E6" s="10" t="n">
        <v>60682</v>
      </c>
      <c r="F6" s="11" t="n">
        <v>60682</v>
      </c>
    </row>
    <row r="7">
      <c r="A7" s="4" t="inlineStr">
        <is>
          <t>CARPINTERIA</t>
        </is>
      </c>
      <c r="B7" s="5" t="n"/>
      <c r="C7" s="5" t="n"/>
      <c r="D7" s="5" t="n"/>
      <c r="E7" s="5" t="n"/>
      <c r="F7" s="6" t="n"/>
    </row>
    <row r="8">
      <c r="A8" s="7" t="n">
        <v>5</v>
      </c>
      <c r="B8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8" s="9" t="n">
        <v>1</v>
      </c>
      <c r="D8" s="9" t="inlineStr">
        <is>
          <t>kg</t>
        </is>
      </c>
      <c r="E8" s="10" t="n">
        <v>60682</v>
      </c>
      <c r="F8" s="11" t="n">
        <v>60682</v>
      </c>
    </row>
    <row r="9">
      <c r="A9" s="7" t="n">
        <v>6</v>
      </c>
      <c r="B9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9" s="9" t="n">
        <v>1</v>
      </c>
      <c r="D9" s="9" t="inlineStr">
        <is>
          <t>kg</t>
        </is>
      </c>
      <c r="E9" s="10" t="n">
        <v>60682</v>
      </c>
      <c r="F9" s="11" t="n">
        <v>60682</v>
      </c>
    </row>
    <row r="10">
      <c r="A10" s="4" t="inlineStr">
        <is>
          <t>FACHADA</t>
        </is>
      </c>
      <c r="B10" s="5" t="n"/>
      <c r="C10" s="5" t="n"/>
      <c r="D10" s="5" t="n"/>
      <c r="E10" s="5" t="n"/>
      <c r="F10" s="6" t="n"/>
    </row>
    <row r="11">
      <c r="A11" s="7" t="n">
        <v>7</v>
      </c>
      <c r="B11" s="8" t="inlineStr">
        <is>
          <t>Suministro e inyección con resina Sika® Injection-101 CO, poliuretano de baja viscosidad que reacciona únicamente al contacto con agua, generando una espuma densa, flexible e impermeable. Esta solución es recomendada para fisuras pasantes, juntas constructivas o cavidades en estructuras de concreto, especialmente cuando existe ingreso de agua subterránea. La resina expande hasta 40 veces su volumen original, adaptándose a geometrías internas irregulares y permitiendo un sellado completo. Requiere aplicación con equipo especializado.</t>
        </is>
      </c>
      <c r="C11" s="9" t="n">
        <v>1</v>
      </c>
      <c r="D11" s="9" t="inlineStr">
        <is>
          <t>kg</t>
        </is>
      </c>
      <c r="E11" s="10" t="n">
        <v>60682</v>
      </c>
      <c r="F11" s="11" t="n">
        <v>60682</v>
      </c>
    </row>
    <row r="12">
      <c r="A12" s="12" t="inlineStr">
        <is>
          <t>SUBTOTAL COSTOS DIRECTOS</t>
        </is>
      </c>
      <c r="B12" s="5" t="n"/>
      <c r="C12" s="5" t="n"/>
      <c r="D12" s="5" t="n"/>
      <c r="E12" s="5" t="n"/>
      <c r="F12" s="13">
        <f>SUM(F2:F11)</f>
        <v/>
      </c>
    </row>
    <row r="13">
      <c r="A13" s="14" t="inlineStr">
        <is>
          <t>ADMINISTRACIÓN (10.0%)</t>
        </is>
      </c>
      <c r="B13" s="5" t="n"/>
      <c r="C13" s="5" t="n"/>
      <c r="D13" s="5" t="n"/>
      <c r="E13" s="5" t="n"/>
      <c r="F13" s="15">
        <f>F12*(10.0/100)</f>
        <v/>
      </c>
    </row>
    <row r="14">
      <c r="A14" s="14" t="inlineStr">
        <is>
          <t>IMPREVISTOS (5.0%)</t>
        </is>
      </c>
      <c r="B14" s="5" t="n"/>
      <c r="C14" s="5" t="n"/>
      <c r="D14" s="5" t="n"/>
      <c r="E14" s="5" t="n"/>
      <c r="F14" s="15">
        <f>F12*(5.0/100)</f>
        <v/>
      </c>
    </row>
    <row r="15">
      <c r="A15" s="14" t="inlineStr">
        <is>
          <t>UTILIDAD (5.0%)</t>
        </is>
      </c>
      <c r="B15" s="5" t="n"/>
      <c r="C15" s="5" t="n"/>
      <c r="D15" s="5" t="n"/>
      <c r="E15" s="5" t="n"/>
      <c r="F15" s="15">
        <f>F12*(5.0/100)</f>
        <v/>
      </c>
    </row>
    <row r="16">
      <c r="A16" s="14" t="inlineStr">
        <is>
          <t>IVA SOBRE UTILIDAD (19.0%)</t>
        </is>
      </c>
      <c r="B16" s="5" t="n"/>
      <c r="C16" s="5" t="n"/>
      <c r="D16" s="5" t="n"/>
      <c r="E16" s="5" t="n"/>
      <c r="F16" s="15">
        <f>F15*(19.0/100)</f>
        <v/>
      </c>
    </row>
    <row r="17">
      <c r="A17" s="16" t="inlineStr">
        <is>
          <t>VALOR TOTAL COTIZACIÓN</t>
        </is>
      </c>
      <c r="B17" s="17" t="n"/>
      <c r="C17" s="17" t="n"/>
      <c r="D17" s="17" t="n"/>
      <c r="E17" s="17" t="n"/>
      <c r="F17" s="18">
        <f>SUM(F12:F16)</f>
        <v/>
      </c>
    </row>
  </sheetData>
  <mergeCells count="9">
    <mergeCell ref="A2:F2"/>
    <mergeCell ref="A12:E12"/>
    <mergeCell ref="A10:F10"/>
    <mergeCell ref="A16:E16"/>
    <mergeCell ref="A15:E15"/>
    <mergeCell ref="A13:E13"/>
    <mergeCell ref="A14:E14"/>
    <mergeCell ref="A17:E1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2025-09-15T09:35:17Z</dcterms:created>
  <dcterms:modified xmlns:dcterms="http://purl.org/dc/terms/" xmlns:xsi="http://www.w3.org/2001/XMLSchema-instance" xsi:type="dcterms:W3CDTF">2025-09-15T09:35:17Z</dcterms:modified>
</cp:coreProperties>
</file>